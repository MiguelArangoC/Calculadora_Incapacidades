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5EA618CF-3914-47B1-9E47-4FD6A04B4D4A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Casos de Prueba" sheetId="1" r:id="rId1"/>
    <sheet name="Nota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1" i="1" l="1"/>
  <c r="F11" i="1"/>
  <c r="G10" i="1"/>
  <c r="F10" i="1"/>
  <c r="G9" i="1"/>
  <c r="F9" i="1"/>
  <c r="G8" i="1"/>
  <c r="F8" i="1"/>
  <c r="F7" i="1"/>
  <c r="G7" i="1" s="1"/>
  <c r="F6" i="1"/>
  <c r="G6" i="1" s="1"/>
  <c r="F5" i="1"/>
  <c r="G5" i="1" s="1"/>
  <c r="F4" i="1"/>
  <c r="G4" i="1" s="1"/>
  <c r="F3" i="1"/>
  <c r="G3" i="1" s="1"/>
  <c r="F2" i="1"/>
  <c r="G2" i="1" s="1"/>
</calcChain>
</file>

<file path=xl/sharedStrings.xml><?xml version="1.0" encoding="utf-8"?>
<sst xmlns="http://schemas.openxmlformats.org/spreadsheetml/2006/main" count="64" uniqueCount="53">
  <si>
    <t>No.</t>
  </si>
  <si>
    <t>Tipo de Caso</t>
  </si>
  <si>
    <t>Descripción del Caso</t>
  </si>
  <si>
    <t>Salario Mensual</t>
  </si>
  <si>
    <t>Días de Incapacidad</t>
  </si>
  <si>
    <t>Valor del Día
(Salario/30)</t>
  </si>
  <si>
    <t>Pago por Incapacidad
(Valor Día x 66,67% x Días)</t>
  </si>
  <si>
    <t>Resultado Esperado</t>
  </si>
  <si>
    <t>Observaciones</t>
  </si>
  <si>
    <t>Normal</t>
  </si>
  <si>
    <t>Empleado con salario e incapacidad estándar (5 días)</t>
  </si>
  <si>
    <t>Cálculo exitoso: se paga el 66,67% del valor día por 5 días</t>
  </si>
  <si>
    <t>Caso base de referencia</t>
  </si>
  <si>
    <t>Salario medio con incapacidad de 10 días</t>
  </si>
  <si>
    <t>Cálculo exitoso: pago proporcional a 10 días de incapacidad</t>
  </si>
  <si>
    <t>Verifica proporcionalidad al aumentar los días</t>
  </si>
  <si>
    <t>Cálculo exitoso: pago proporcional a 3 días de incapacidad</t>
  </si>
  <si>
    <t>Verifica el cálculo con pocos días</t>
  </si>
  <si>
    <t>Extraordinario</t>
  </si>
  <si>
    <t>Salario mínimo legal vigente con incapacidad mínima (1 día)</t>
  </si>
  <si>
    <t>Cálculo exitoso: valida el límite inferior de días (1 día)</t>
  </si>
  <si>
    <t>Salario alto con incapacidad prolongada (180 días)</t>
  </si>
  <si>
    <t>Cálculo exitoso: valida el límite superior de días de incapacidad prolongada</t>
  </si>
  <si>
    <t>En la práctica, incapacidades &gt;180 días pueden pasar a pensión por invalidez; se prueba el cálculo aritmético</t>
  </si>
  <si>
    <t>Salario con valor decimal e incapacidad de 45 días</t>
  </si>
  <si>
    <t>Cálculo exitoso: valida el manejo correcto de decimales en el salario</t>
  </si>
  <si>
    <t>Prueba precisión numérica y redondeo</t>
  </si>
  <si>
    <t>Error</t>
  </si>
  <si>
    <t>Salario mensual negativo</t>
  </si>
  <si>
    <t>Error: el salario no puede ser un valor negativo</t>
  </si>
  <si>
    <t>Debe rechazarse por validación de datos (salario &lt;= 0)</t>
  </si>
  <si>
    <t>Salario mensual igual a cero</t>
  </si>
  <si>
    <t>Error: el salario no puede ser cero</t>
  </si>
  <si>
    <t>Número de días de incapacidad negativo</t>
  </si>
  <si>
    <t>Error: los días de incapacidad no pueden ser negativos</t>
  </si>
  <si>
    <t>Debe rechazarse por validación de datos (días &lt;= 0)</t>
  </si>
  <si>
    <t>Salario mensual no numérico (texto)</t>
  </si>
  <si>
    <t>N/A</t>
  </si>
  <si>
    <t>Error: el salario debe ser un valor numérico</t>
  </si>
  <si>
    <t>Debe rechazarse por validación de tipo de dato</t>
  </si>
  <si>
    <t>Fórmula utilizada</t>
  </si>
  <si>
    <t>Valor del día</t>
  </si>
  <si>
    <t>Salario Mensual / 30</t>
  </si>
  <si>
    <t>Pago por incapacidad</t>
  </si>
  <si>
    <t>Valor del día x 66,67% x Número de días de incapacidad</t>
  </si>
  <si>
    <t>Tipos de caso</t>
  </si>
  <si>
    <t>Datos típicos y válidos que representan el uso cotidiano del cálculo.</t>
  </si>
  <si>
    <t>Datos válidos pero en los límites o poco frecuentes (salario mínimo, incapacidades muy largas, decimales).</t>
  </si>
  <si>
    <t>Datos inválidos que deben ser rechazados por las validaciones del sistema (negativos, cero, texto no numérico).</t>
  </si>
  <si>
    <t>Nota</t>
  </si>
  <si>
    <t>El 66,67% corresponde al porcentaje de reconocimiento económico por incapacidad de origen común en la legislación laboral colombiana. Ajustar el porcentaje si el caso de uso corresponde a otra normativa.</t>
  </si>
  <si>
    <t>Salario mínimo con incapacidad corta (3 días)</t>
  </si>
  <si>
    <t>Salario mínimo legal Colombia 2026 como referencia; ajustar según año vigente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</si>
</sst>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;&quot;($&quot;#,##0.00\);\-"/>
  </numFmts>
  <fonts count="6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AD3"/>
        <bgColor rgb="FFFFF2CC"/>
      </patternFill>
    </fill>
    <fill>
      <patternFill patternType="solid">
        <fgColor rgb="FFFFF2CC"/>
        <bgColor rgb="FFFFFFFF"/>
      </patternFill>
    </fill>
    <fill>
      <patternFill patternType="solid">
        <fgColor rgb="FFF4CCCC"/>
        <bgColor rgb="FFD9EAD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164" fontId="3" fillId="4" borderId="1" xfId="0" applyNumberFormat="1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left" vertical="center" wrapText="1"/>
    </xf>
    <xf numFmtId="0" fontId="4" fillId="0" borderId="0" xfId="0" applyFont="1"/>
    <xf numFmtId="0" fontId="5" fillId="0" borderId="0" xfId="0" applyFont="1" applyAlignment="1">
      <alignment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tabSelected="1" zoomScaleNormal="100" workbookViewId="0">
      <pane ySplit="1" topLeftCell="A2" activePane="bottomLeft" state="frozen"/>
      <selection pane="bottomLeft" activeCell="M8" sqref="M8"/>
    </sheetView>
  </sheetViews>
  <sheetFormatPr baseColWidth="10" defaultColWidth="8.7109375" defaultRowHeight="15" x14ac:dyDescent="0.25"/>
  <cols>
    <col min="1" max="1" width="6" customWidth="1"/>
    <col min="2" max="2" width="16" customWidth="1"/>
    <col min="3" max="3" width="34" customWidth="1"/>
    <col min="4" max="4" width="18" customWidth="1"/>
    <col min="5" max="5" width="12" customWidth="1"/>
    <col min="6" max="6" width="16" customWidth="1"/>
    <col min="7" max="7" width="20" customWidth="1"/>
    <col min="8" max="8" width="30" customWidth="1"/>
    <col min="9" max="9" width="40" customWidth="1"/>
  </cols>
  <sheetData>
    <row r="1" spans="1:9" ht="39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45" customHeight="1" x14ac:dyDescent="0.25">
      <c r="A2" s="2">
        <v>1</v>
      </c>
      <c r="B2" s="2" t="s">
        <v>9</v>
      </c>
      <c r="C2" s="3" t="s">
        <v>10</v>
      </c>
      <c r="D2" s="4">
        <v>5300000</v>
      </c>
      <c r="E2" s="2">
        <v>5</v>
      </c>
      <c r="F2" s="5">
        <f t="shared" ref="F2:F11" si="0">IF(ISNUMBER(D2),D2/30,"Error: salario debe ser numérico")</f>
        <v>176666.66666666666</v>
      </c>
      <c r="G2" s="5">
        <f t="shared" ref="G2:G11" si="1">IF(NOT(ISNUMBER(D2)),"Error: salario debe ser numérico",IF(OR(D2&lt;=0,E2&lt;=0),"Error: valores deben ser positivos",F2*0.6667*E2))</f>
        <v>588918.33333333326</v>
      </c>
      <c r="H2" s="3" t="s">
        <v>11</v>
      </c>
      <c r="I2" s="3" t="s">
        <v>12</v>
      </c>
    </row>
    <row r="3" spans="1:9" ht="45" customHeight="1" x14ac:dyDescent="0.25">
      <c r="A3" s="2">
        <v>2</v>
      </c>
      <c r="B3" s="2" t="s">
        <v>9</v>
      </c>
      <c r="C3" s="3" t="s">
        <v>13</v>
      </c>
      <c r="D3" s="4">
        <v>2500000</v>
      </c>
      <c r="E3" s="2">
        <v>10</v>
      </c>
      <c r="F3" s="5">
        <f t="shared" si="0"/>
        <v>83333.333333333328</v>
      </c>
      <c r="G3" s="5">
        <f t="shared" si="1"/>
        <v>555583.33333333326</v>
      </c>
      <c r="H3" s="3" t="s">
        <v>14</v>
      </c>
      <c r="I3" s="3" t="s">
        <v>15</v>
      </c>
    </row>
    <row r="4" spans="1:9" ht="45" customHeight="1" x14ac:dyDescent="0.25">
      <c r="A4" s="2">
        <v>3</v>
      </c>
      <c r="B4" s="2" t="s">
        <v>9</v>
      </c>
      <c r="C4" s="16" t="s">
        <v>51</v>
      </c>
      <c r="D4" s="4">
        <v>1750905</v>
      </c>
      <c r="E4" s="2">
        <v>3</v>
      </c>
      <c r="F4" s="5">
        <f t="shared" si="0"/>
        <v>58363.5</v>
      </c>
      <c r="G4" s="5">
        <f t="shared" si="1"/>
        <v>116732.83635</v>
      </c>
      <c r="H4" s="3" t="s">
        <v>16</v>
      </c>
      <c r="I4" s="3" t="s">
        <v>17</v>
      </c>
    </row>
    <row r="5" spans="1:9" ht="45" customHeight="1" x14ac:dyDescent="0.25">
      <c r="A5" s="6">
        <v>4</v>
      </c>
      <c r="B5" s="6" t="s">
        <v>18</v>
      </c>
      <c r="C5" s="7" t="s">
        <v>19</v>
      </c>
      <c r="D5" s="8">
        <v>1750905</v>
      </c>
      <c r="E5" s="6">
        <v>1</v>
      </c>
      <c r="F5" s="9">
        <f t="shared" si="0"/>
        <v>58363.5</v>
      </c>
      <c r="G5" s="9">
        <f t="shared" si="1"/>
        <v>38910.945449999999</v>
      </c>
      <c r="H5" s="7" t="s">
        <v>20</v>
      </c>
      <c r="I5" s="17" t="s">
        <v>52</v>
      </c>
    </row>
    <row r="6" spans="1:9" ht="45" customHeight="1" x14ac:dyDescent="0.25">
      <c r="A6" s="6">
        <v>5</v>
      </c>
      <c r="B6" s="6" t="s">
        <v>18</v>
      </c>
      <c r="C6" s="7" t="s">
        <v>21</v>
      </c>
      <c r="D6" s="8">
        <v>15000000</v>
      </c>
      <c r="E6" s="6">
        <v>180</v>
      </c>
      <c r="F6" s="9">
        <f t="shared" si="0"/>
        <v>500000</v>
      </c>
      <c r="G6" s="9">
        <f t="shared" si="1"/>
        <v>60003000</v>
      </c>
      <c r="H6" s="7" t="s">
        <v>22</v>
      </c>
      <c r="I6" s="7" t="s">
        <v>23</v>
      </c>
    </row>
    <row r="7" spans="1:9" ht="45" customHeight="1" x14ac:dyDescent="0.25">
      <c r="A7" s="6">
        <v>6</v>
      </c>
      <c r="B7" s="6" t="s">
        <v>18</v>
      </c>
      <c r="C7" s="7" t="s">
        <v>24</v>
      </c>
      <c r="D7" s="8">
        <v>987654.32</v>
      </c>
      <c r="E7" s="6">
        <v>45</v>
      </c>
      <c r="F7" s="9">
        <f t="shared" si="0"/>
        <v>32921.810666666664</v>
      </c>
      <c r="G7" s="9">
        <f t="shared" si="1"/>
        <v>987703.7027159998</v>
      </c>
      <c r="H7" s="7" t="s">
        <v>25</v>
      </c>
      <c r="I7" s="7" t="s">
        <v>26</v>
      </c>
    </row>
    <row r="8" spans="1:9" ht="45" customHeight="1" x14ac:dyDescent="0.25">
      <c r="A8" s="10">
        <v>7</v>
      </c>
      <c r="B8" s="10" t="s">
        <v>27</v>
      </c>
      <c r="C8" s="11" t="s">
        <v>28</v>
      </c>
      <c r="D8" s="12">
        <v>-1000000</v>
      </c>
      <c r="E8" s="10">
        <v>5</v>
      </c>
      <c r="F8" s="13">
        <f t="shared" si="0"/>
        <v>-33333.333333333336</v>
      </c>
      <c r="G8" s="13" t="str">
        <f t="shared" si="1"/>
        <v>Error: valores deben ser positivos</v>
      </c>
      <c r="H8" s="11" t="s">
        <v>29</v>
      </c>
      <c r="I8" s="11" t="s">
        <v>30</v>
      </c>
    </row>
    <row r="9" spans="1:9" ht="45" customHeight="1" x14ac:dyDescent="0.25">
      <c r="A9" s="10">
        <v>8</v>
      </c>
      <c r="B9" s="10" t="s">
        <v>27</v>
      </c>
      <c r="C9" s="11" t="s">
        <v>31</v>
      </c>
      <c r="D9" s="12">
        <v>0</v>
      </c>
      <c r="E9" s="10">
        <v>10</v>
      </c>
      <c r="F9" s="13">
        <f t="shared" si="0"/>
        <v>0</v>
      </c>
      <c r="G9" s="13" t="str">
        <f t="shared" si="1"/>
        <v>Error: valores deben ser positivos</v>
      </c>
      <c r="H9" s="11" t="s">
        <v>32</v>
      </c>
      <c r="I9" s="11" t="s">
        <v>30</v>
      </c>
    </row>
    <row r="10" spans="1:9" ht="45" customHeight="1" x14ac:dyDescent="0.25">
      <c r="A10" s="10">
        <v>9</v>
      </c>
      <c r="B10" s="10" t="s">
        <v>27</v>
      </c>
      <c r="C10" s="11" t="s">
        <v>33</v>
      </c>
      <c r="D10" s="12">
        <v>1200000</v>
      </c>
      <c r="E10" s="10">
        <v>-3</v>
      </c>
      <c r="F10" s="13">
        <f t="shared" si="0"/>
        <v>40000</v>
      </c>
      <c r="G10" s="13" t="str">
        <f t="shared" si="1"/>
        <v>Error: valores deben ser positivos</v>
      </c>
      <c r="H10" s="11" t="s">
        <v>34</v>
      </c>
      <c r="I10" s="11" t="s">
        <v>35</v>
      </c>
    </row>
    <row r="11" spans="1:9" ht="45" customHeight="1" x14ac:dyDescent="0.25">
      <c r="A11" s="10">
        <v>10</v>
      </c>
      <c r="B11" s="10" t="s">
        <v>27</v>
      </c>
      <c r="C11" s="11" t="s">
        <v>36</v>
      </c>
      <c r="D11" s="12" t="s">
        <v>37</v>
      </c>
      <c r="E11" s="10">
        <v>5</v>
      </c>
      <c r="F11" s="13" t="str">
        <f t="shared" si="0"/>
        <v>Error: salario debe ser numérico</v>
      </c>
      <c r="G11" s="13" t="str">
        <f t="shared" si="1"/>
        <v>Error: salario debe ser numérico</v>
      </c>
      <c r="H11" s="11" t="s">
        <v>38</v>
      </c>
      <c r="I11" s="11" t="s">
        <v>39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zoomScaleNormal="100" workbookViewId="0"/>
  </sheetViews>
  <sheetFormatPr baseColWidth="10" defaultColWidth="8.7109375" defaultRowHeight="15" x14ac:dyDescent="0.25"/>
  <cols>
    <col min="1" max="1" width="24" customWidth="1"/>
    <col min="2" max="2" width="90" customWidth="1"/>
  </cols>
  <sheetData>
    <row r="1" spans="1:2" ht="30" customHeight="1" x14ac:dyDescent="0.25">
      <c r="A1" s="14" t="s">
        <v>40</v>
      </c>
      <c r="B1" s="15"/>
    </row>
    <row r="2" spans="1:2" ht="30" customHeight="1" x14ac:dyDescent="0.25">
      <c r="A2" s="14" t="s">
        <v>41</v>
      </c>
      <c r="B2" s="15" t="s">
        <v>42</v>
      </c>
    </row>
    <row r="3" spans="1:2" ht="30" customHeight="1" x14ac:dyDescent="0.25">
      <c r="A3" s="14" t="s">
        <v>43</v>
      </c>
      <c r="B3" s="15" t="s">
        <v>44</v>
      </c>
    </row>
    <row r="4" spans="1:2" ht="30" customHeight="1" x14ac:dyDescent="0.25">
      <c r="A4" s="14"/>
      <c r="B4" s="15"/>
    </row>
    <row r="5" spans="1:2" ht="30" customHeight="1" x14ac:dyDescent="0.25">
      <c r="A5" s="14" t="s">
        <v>45</v>
      </c>
      <c r="B5" s="15"/>
    </row>
    <row r="6" spans="1:2" ht="30" customHeight="1" x14ac:dyDescent="0.25">
      <c r="A6" s="14" t="s">
        <v>9</v>
      </c>
      <c r="B6" s="15" t="s">
        <v>46</v>
      </c>
    </row>
    <row r="7" spans="1:2" ht="30" customHeight="1" x14ac:dyDescent="0.25">
      <c r="A7" s="14" t="s">
        <v>18</v>
      </c>
      <c r="B7" s="15" t="s">
        <v>47</v>
      </c>
    </row>
    <row r="8" spans="1:2" ht="30" customHeight="1" x14ac:dyDescent="0.25">
      <c r="A8" s="14" t="s">
        <v>27</v>
      </c>
      <c r="B8" s="15" t="s">
        <v>48</v>
      </c>
    </row>
    <row r="9" spans="1:2" ht="30" customHeight="1" x14ac:dyDescent="0.25">
      <c r="A9" s="14"/>
      <c r="B9" s="15"/>
    </row>
    <row r="10" spans="1:2" ht="30" customHeight="1" x14ac:dyDescent="0.25">
      <c r="A10" s="14" t="s">
        <v>49</v>
      </c>
      <c r="B10" s="15" t="s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Casos de Prueba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b14s205</cp:lastModifiedBy>
  <cp:revision>0</cp:revision>
  <dcterms:created xsi:type="dcterms:W3CDTF">2026-07-31T13:23:07Z</dcterms:created>
  <dcterms:modified xsi:type="dcterms:W3CDTF">2026-07-31T13:25:52Z</dcterms:modified>
  <dc:language>en-US</dc:language>
</cp:coreProperties>
</file>